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едпосылки" state="visible" r:id="rId4"/>
    <sheet sheetId="2" name="Выручка" state="visible" r:id="rId5"/>
    <sheet sheetId="3" name="Расходы" state="visible" r:id="rId6"/>
    <sheet sheetId="4" name="Отчет о прибылях и убытках" state="visible" r:id="rId7"/>
  </sheets>
  <calcPr calcId="171027"/>
</workbook>
</file>

<file path=xl/sharedStrings.xml><?xml version="1.0" encoding="utf-8"?>
<sst xmlns="http://schemas.openxmlformats.org/spreadsheetml/2006/main" count="81" uniqueCount="63">
  <si>
    <t>Параметр</t>
  </si>
  <si>
    <t>Значение</t>
  </si>
  <si>
    <t>Единица</t>
  </si>
  <si>
    <t>Налоговая ставка</t>
  </si>
  <si>
    <t>%</t>
  </si>
  <si>
    <t>Темп роста</t>
  </si>
  <si>
    <t>WACC</t>
  </si>
  <si>
    <t>Средний чек</t>
  </si>
  <si>
    <t>тенге</t>
  </si>
  <si>
    <t>Количество мест</t>
  </si>
  <si>
    <t>шт</t>
  </si>
  <si>
    <t>Часы работы в день</t>
  </si>
  <si>
    <t>часов</t>
  </si>
  <si>
    <t>Дней в году</t>
  </si>
  <si>
    <t>дней</t>
  </si>
  <si>
    <t>Заполняемость зала</t>
  </si>
  <si>
    <t>Себестоимость продуктов</t>
  </si>
  <si>
    <t>% от выручки</t>
  </si>
  <si>
    <t>Операционные расходы</t>
  </si>
  <si>
    <t>Показатель</t>
  </si>
  <si>
    <t>Год 1</t>
  </si>
  <si>
    <t>Год 2</t>
  </si>
  <si>
    <t>Год 3</t>
  </si>
  <si>
    <t>Год 4</t>
  </si>
  <si>
    <t>Год 5</t>
  </si>
  <si>
    <t>Посетителей в день, человек</t>
  </si>
  <si>
    <t>Средний чек, тенге</t>
  </si>
  <si>
    <t>Выручка в день, тенге</t>
  </si>
  <si>
    <t>Выручка в месяц, тенге</t>
  </si>
  <si>
    <t>Выручка в год, тенге</t>
  </si>
  <si>
    <t>Статья расходов</t>
  </si>
  <si>
    <t>Себестоимость продуктов, тенге</t>
  </si>
  <si>
    <t>Аренда помещения, тенге</t>
  </si>
  <si>
    <t>6000000</t>
  </si>
  <si>
    <t>6300000</t>
  </si>
  <si>
    <t>6615000</t>
  </si>
  <si>
    <t>6945750</t>
  </si>
  <si>
    <t>7293038</t>
  </si>
  <si>
    <t>Фонд оплаты труда, тенге</t>
  </si>
  <si>
    <t>3600000</t>
  </si>
  <si>
    <t>3960000</t>
  </si>
  <si>
    <t>4356000</t>
  </si>
  <si>
    <t>4791600</t>
  </si>
  <si>
    <t>5270760</t>
  </si>
  <si>
    <t>Коммунальные услуги, тенге</t>
  </si>
  <si>
    <t>360000</t>
  </si>
  <si>
    <t>378000</t>
  </si>
  <si>
    <t>396900</t>
  </si>
  <si>
    <t>416745</t>
  </si>
  <si>
    <t>437582</t>
  </si>
  <si>
    <t>Маркетинг и реклама, тенге</t>
  </si>
  <si>
    <t>Прочие операционные расходы, тенге</t>
  </si>
  <si>
    <t>Итого операционные расходы, тенге</t>
  </si>
  <si>
    <t>P&amp;L</t>
  </si>
  <si>
    <t>Выручка, тенге</t>
  </si>
  <si>
    <t>Операционные расходы, тенге</t>
  </si>
  <si>
    <t>EBITDA, тенге</t>
  </si>
  <si>
    <t>Амортизация, тенге</t>
  </si>
  <si>
    <t>200000</t>
  </si>
  <si>
    <t>EBIT, тенге</t>
  </si>
  <si>
    <t>Налоги, тенге</t>
  </si>
  <si>
    <t>Чистая прибыль, тенге</t>
  </si>
  <si>
    <t>Рентабельность по чистой прибыли,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</si>
</sst>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25" customWidth="1"/>
    <col min="2" max="2" width="10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0.2</v>
      </c>
      <c r="C2" t="s">
        <v>4</v>
      </c>
    </row>
    <row r="3" spans="1:3" x14ac:dyDescent="0.25">
      <c r="A3" t="s">
        <v>5</v>
      </c>
      <c r="B3">
        <v>0.15</v>
      </c>
      <c r="C3" t="s">
        <v>4</v>
      </c>
    </row>
    <row r="4" spans="1:3" x14ac:dyDescent="0.25">
      <c r="A4" t="s">
        <v>6</v>
      </c>
      <c r="B4">
        <v>0.18</v>
      </c>
      <c r="C4" t="s">
        <v>4</v>
      </c>
    </row>
    <row r="5" spans="1:3" x14ac:dyDescent="0.25">
      <c r="A5" t="s">
        <v>7</v>
      </c>
      <c r="B5">
        <v>1500</v>
      </c>
      <c r="C5" t="s">
        <v>8</v>
      </c>
    </row>
    <row r="6" spans="1:3" x14ac:dyDescent="0.25">
      <c r="A6" t="s">
        <v>9</v>
      </c>
      <c r="B6">
        <v>20</v>
      </c>
      <c r="C6" t="s">
        <v>10</v>
      </c>
    </row>
    <row r="7" spans="1:3" x14ac:dyDescent="0.25">
      <c r="A7" t="s">
        <v>11</v>
      </c>
      <c r="B7">
        <v>12</v>
      </c>
      <c r="C7" t="s">
        <v>12</v>
      </c>
    </row>
    <row r="8" spans="1:3" x14ac:dyDescent="0.25">
      <c r="A8" t="s">
        <v>13</v>
      </c>
      <c r="B8">
        <v>365</v>
      </c>
      <c r="C8" t="s">
        <v>14</v>
      </c>
    </row>
    <row r="9" spans="1:3" x14ac:dyDescent="0.25">
      <c r="A9" t="s">
        <v>15</v>
      </c>
      <c r="B9">
        <v>0.6</v>
      </c>
      <c r="C9" t="s">
        <v>4</v>
      </c>
    </row>
    <row r="10" spans="1:3" x14ac:dyDescent="0.25">
      <c r="A10" t="s">
        <v>16</v>
      </c>
      <c r="B10">
        <v>0.35</v>
      </c>
      <c r="C10" t="s">
        <v>17</v>
      </c>
    </row>
    <row r="11" spans="1:3" x14ac:dyDescent="0.25">
      <c r="A11" t="s">
        <v>18</v>
      </c>
      <c r="B11">
        <v>0.25</v>
      </c>
      <c r="C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29" customWidth="1"/>
    <col min="2" max="6" width="17" customWidth="1"/>
  </cols>
  <sheetData>
    <row r="1" spans="1:6" s="1" customFormat="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25">
      <c r="A2" t="s">
        <v>25</v>
      </c>
      <c r="B2">
        <f>ROUND(assumptions!B6*assumptions!B9)</f>
      </c>
      <c r="C2">
        <f>ROUND(B2*1.15)</f>
      </c>
      <c r="D2">
        <f>ROUND(C2*1.15)</f>
      </c>
      <c r="E2">
        <f>ROUND(D2*1.15)</f>
      </c>
      <c r="F2">
        <f>ROUND(E2*1.15)</f>
      </c>
    </row>
    <row r="3" spans="1:6" x14ac:dyDescent="0.25">
      <c r="A3" t="s">
        <v>26</v>
      </c>
      <c r="B3">
        <f>assumptions!B5</f>
      </c>
      <c r="C3">
        <f>B3*1.05</f>
      </c>
      <c r="D3">
        <f>C3*1.05</f>
      </c>
      <c r="E3">
        <f>D3*1.05</f>
      </c>
      <c r="F3">
        <f>E3*1.05</f>
      </c>
    </row>
    <row r="4" spans="1:6" x14ac:dyDescent="0.25">
      <c r="A4" t="s">
        <v>27</v>
      </c>
      <c r="B4">
        <f>B2*B3</f>
      </c>
      <c r="C4">
        <f>C2*C3</f>
      </c>
      <c r="D4">
        <f>D2*D3</f>
      </c>
      <c r="E4">
        <f>E2*E3</f>
      </c>
      <c r="F4">
        <f>F2*F3</f>
      </c>
    </row>
    <row r="5" spans="1:6" x14ac:dyDescent="0.25">
      <c r="A5" t="s">
        <v>28</v>
      </c>
      <c r="B5">
        <f>B4*30</f>
      </c>
      <c r="C5">
        <f>C4*30</f>
      </c>
      <c r="D5">
        <f>D4*30</f>
      </c>
      <c r="E5">
        <f>E4*30</f>
      </c>
      <c r="F5">
        <f>F4*30</f>
      </c>
    </row>
    <row r="6" spans="1:6" x14ac:dyDescent="0.25">
      <c r="A6" t="s">
        <v>29</v>
      </c>
      <c r="B6">
        <f>B5*12</f>
      </c>
      <c r="C6">
        <f>C5*12</f>
      </c>
      <c r="D6">
        <f>D5*12</f>
      </c>
      <c r="E6">
        <f>E5*12</f>
      </c>
      <c r="F6">
        <f>F5*12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36" customWidth="1"/>
    <col min="2" max="6" width="17" customWidth="1"/>
  </cols>
  <sheetData>
    <row r="1" spans="1:6" s="1" customFormat="1" x14ac:dyDescent="0.25">
      <c r="A1" s="1" t="s">
        <v>30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25">
      <c r="A2" t="s">
        <v>31</v>
      </c>
      <c r="B2">
        <f>revenue!B6*assumptions!B10</f>
      </c>
      <c r="C2">
        <f>revenue!C6*assumptions!B10</f>
      </c>
      <c r="D2">
        <f>revenue!D6*assumptions!B10</f>
      </c>
      <c r="E2">
        <f>revenue!E6*assumptions!B10</f>
      </c>
      <c r="F2">
        <f>revenue!F6*assumptions!B10</f>
      </c>
    </row>
    <row r="3" spans="1:6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</row>
    <row r="4" spans="1:6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</row>
    <row r="5" spans="1:6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</row>
    <row r="6" spans="1:6" x14ac:dyDescent="0.25">
      <c r="A6" t="s">
        <v>50</v>
      </c>
      <c r="B6">
        <f>revenue!B6*0.02</f>
      </c>
      <c r="C6">
        <f>revenue!C6*0.02</f>
      </c>
      <c r="D6">
        <f>revenue!D6*0.02</f>
      </c>
      <c r="E6">
        <f>revenue!E6*0.02</f>
      </c>
      <c r="F6">
        <f>revenue!F6*0.02</f>
      </c>
    </row>
    <row r="7" spans="1:6" x14ac:dyDescent="0.25">
      <c r="A7" t="s">
        <v>51</v>
      </c>
      <c r="B7">
        <f>revenue!B6*0.03</f>
      </c>
      <c r="C7">
        <f>revenue!C6*0.03</f>
      </c>
      <c r="D7">
        <f>revenue!D6*0.03</f>
      </c>
      <c r="E7">
        <f>revenue!E6*0.03</f>
      </c>
      <c r="F7">
        <f>revenue!F6*0.03</f>
      </c>
    </row>
    <row r="8" spans="1:6" x14ac:dyDescent="0.25">
      <c r="A8" t="s">
        <v>52</v>
      </c>
      <c r="B8">
        <f>SUM(B2:B7)</f>
      </c>
      <c r="C8">
        <f>SUM(C2:C7)</f>
      </c>
      <c r="D8">
        <f>SUM(D2:D7)</f>
      </c>
      <c r="E8">
        <f>SUM(E2:E7)</f>
      </c>
      <c r="F8">
        <f>SUM(F2:F7)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37" customWidth="1"/>
    <col min="2" max="6" width="17" customWidth="1"/>
  </cols>
  <sheetData>
    <row r="1" spans="1:6" s="1" customFormat="1" x14ac:dyDescent="0.25">
      <c r="A1" s="1" t="s">
        <v>53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25">
      <c r="A2" t="s">
        <v>54</v>
      </c>
      <c r="B2">
        <f>revenue!B6</f>
      </c>
      <c r="C2">
        <f>revenue!C6</f>
      </c>
      <c r="D2">
        <f>revenue!D6</f>
      </c>
      <c r="E2">
        <f>revenue!E6</f>
      </c>
      <c r="F2">
        <f>revenue!F6</f>
      </c>
    </row>
    <row r="3" spans="1:6" x14ac:dyDescent="0.25">
      <c r="A3" t="s">
        <v>55</v>
      </c>
      <c r="B3">
        <f>expenses!B8</f>
      </c>
      <c r="C3">
        <f>expenses!C8</f>
      </c>
      <c r="D3">
        <f>expenses!D8</f>
      </c>
      <c r="E3">
        <f>expenses!E8</f>
      </c>
      <c r="F3">
        <f>expenses!F8</f>
      </c>
    </row>
    <row r="4" spans="1:6" x14ac:dyDescent="0.25">
      <c r="A4" t="s">
        <v>56</v>
      </c>
      <c r="B4">
        <f>B2-B3</f>
      </c>
      <c r="C4">
        <f>C2-C3</f>
      </c>
      <c r="D4">
        <f>D2-D3</f>
      </c>
      <c r="E4">
        <f>E2-E3</f>
      </c>
      <c r="F4">
        <f>F2-F3</f>
      </c>
    </row>
    <row r="5" spans="1:6" x14ac:dyDescent="0.25">
      <c r="A5" t="s">
        <v>57</v>
      </c>
      <c r="B5" t="s">
        <v>58</v>
      </c>
      <c r="C5" t="s">
        <v>58</v>
      </c>
      <c r="D5" t="s">
        <v>58</v>
      </c>
      <c r="E5" t="s">
        <v>58</v>
      </c>
      <c r="F5" t="s">
        <v>58</v>
      </c>
    </row>
    <row r="6" spans="1:6" x14ac:dyDescent="0.25">
      <c r="A6" t="s">
        <v>59</v>
      </c>
      <c r="B6">
        <f>B4-B5</f>
      </c>
      <c r="C6">
        <f>C4-C5</f>
      </c>
      <c r="D6">
        <f>D4-D5</f>
      </c>
      <c r="E6">
        <f>E4-E5</f>
      </c>
      <c r="F6">
        <f>F4-F5</f>
      </c>
    </row>
    <row r="7" spans="1:6" x14ac:dyDescent="0.25">
      <c r="A7" t="s">
        <v>60</v>
      </c>
      <c r="B7">
        <f>IF(B6&gt;0,B6*assumptions!B2,0)</f>
      </c>
      <c r="C7">
        <f>IF(C6&gt;0,C6*assumptions!B2,0)</f>
      </c>
      <c r="D7">
        <f>IF(D6&gt;0,D6*assumptions!B2,0)</f>
      </c>
      <c r="E7">
        <f>IF(E6&gt;0,E6*assumptions!B2,0)</f>
      </c>
      <c r="F7">
        <f>IF(F6&gt;0,F6*assumptions!B2,0)</f>
      </c>
    </row>
    <row r="8" spans="1:6" x14ac:dyDescent="0.25">
      <c r="A8" t="s">
        <v>61</v>
      </c>
      <c r="B8">
        <f>B6-B7</f>
      </c>
      <c r="C8">
        <f>C6-C7</f>
      </c>
      <c r="D8">
        <f>D6-D7</f>
      </c>
      <c r="E8">
        <f>E6-E7</f>
      </c>
      <c r="F8">
        <f>F6-F7</f>
      </c>
    </row>
    <row r="9" spans="1:6" x14ac:dyDescent="0.25">
      <c r="A9" t="s">
        <v>62</v>
      </c>
      <c r="B9">
        <f>IF(B2&gt;0,B8/B2*100,0)</f>
      </c>
      <c r="C9">
        <f>IF(C2&gt;0,C8/C2*100,0)</f>
      </c>
      <c r="D9">
        <f>IF(D2&gt;0,D8/D2*100,0)</f>
      </c>
      <c r="E9">
        <f>IF(E2&gt;0,E8/E2*100,0)</f>
      </c>
      <c r="F9">
        <f>IF(F2&gt;0,F8/F2*100,0)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Предпосылки</vt:lpstr>
      <vt:lpstr>Выручка</vt:lpstr>
      <vt:lpstr>Расходы</vt:lpstr>
      <vt:lpstr>Отчет о прибылях и убытках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2025-08-06T18:23:56Z</dcterms:created>
  <dcterms:modified xsi:type="dcterms:W3CDTF">2025-08-06T18:23:56Z</dcterms:modified>
</cp:coreProperties>
</file>